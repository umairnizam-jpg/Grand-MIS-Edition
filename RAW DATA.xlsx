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FA3A3FA0-6A71-45EC-9556-4A231A94604C}" xr6:coauthVersionLast="47" xr6:coauthVersionMax="47" xr10:uidLastSave="{00000000-0000-0000-0000-000000000000}"/>
  <bookViews>
    <workbookView xWindow="-120" yWindow="-120" windowWidth="29040" windowHeight="15840" xr2:uid="{0BC13F22-6614-48DC-AD75-CD008F11539B}"/>
  </bookViews>
  <sheets>
    <sheet name="Sheet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2" i="3"/>
</calcChain>
</file>

<file path=xl/sharedStrings.xml><?xml version="1.0" encoding="utf-8"?>
<sst xmlns="http://schemas.openxmlformats.org/spreadsheetml/2006/main" count="225" uniqueCount="22">
  <si>
    <t>Joyland Fortress</t>
  </si>
  <si>
    <t>Projetcs</t>
  </si>
  <si>
    <t>Actual Revenue</t>
  </si>
  <si>
    <t>Actual Footfall</t>
  </si>
  <si>
    <t>Months</t>
  </si>
  <si>
    <t>Revenue Achievement</t>
  </si>
  <si>
    <t>Footfall Achievement</t>
  </si>
  <si>
    <t>Target revenue</t>
  </si>
  <si>
    <t>Target Footfall</t>
  </si>
  <si>
    <t>Year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</si>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</sst>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1" applyNumberFormat="1" applyFont="1" applyBorder="1" applyAlignment="1">
      <alignment horizontal="center"/>
    </xf>
    <xf numFmtId="0" fontId="2" fillId="0" borderId="0" xfId="0" applyFont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horizontal="left"/>
    </xf>
    <xf numFmtId="164" fontId="0" fillId="0" borderId="0" xfId="1" applyNumberFormat="1" applyFont="1" applyBorder="1" applyAlignment="1">
      <alignment horizontal="right" vertical="center"/>
    </xf>
    <xf numFmtId="164" fontId="0" fillId="2" borderId="0" xfId="1" applyNumberFormat="1" applyFont="1" applyFill="1" applyBorder="1" applyAlignment="1">
      <alignment vertical="center"/>
    </xf>
    <xf numFmtId="164" fontId="3" fillId="0" borderId="0" xfId="1" applyNumberFormat="1" applyFont="1" applyBorder="1" applyAlignment="1">
      <alignment horizontal="right" vertical="center" wrapText="1"/>
    </xf>
    <xf numFmtId="164" fontId="0" fillId="0" borderId="0" xfId="1" applyNumberFormat="1" applyFont="1" applyBorder="1"/>
    <xf numFmtId="164" fontId="0" fillId="2" borderId="0" xfId="1" applyNumberFormat="1" applyFont="1" applyFill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/>
    </xf>
    <xf numFmtId="164" fontId="3" fillId="0" borderId="0" xfId="1" applyNumberFormat="1" applyFont="1" applyBorder="1" applyAlignment="1">
      <alignment horizontal="center" vertical="center" wrapText="1"/>
    </xf>
    <xf numFmtId="17" fontId="0" fillId="0" borderId="0" xfId="0" applyNumberFormat="1"/>
    <xf numFmtId="0" fontId="2" fillId="0" borderId="0" xfId="0" applyFont="1"/>
    <xf numFmtId="164" fontId="2" fillId="0" borderId="0" xfId="1" applyNumberFormat="1" applyFont="1" applyBorder="1"/>
    <xf numFmtId="164" fontId="2" fillId="0" borderId="0" xfId="1" applyNumberFormat="1" applyFont="1" applyFill="1" applyBorder="1"/>
    <xf numFmtId="164" fontId="0" fillId="0" borderId="0" xfId="1" applyNumberFormat="1" applyFont="1"/>
    <xf numFmtId="164" fontId="0" fillId="0" borderId="0" xfId="1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855DD-E952-40B9-9222-EE97FB6F8858}">
  <dimension ref="A1:I109"/>
  <sheetViews>
    <sheetView tabSelected="1" workbookViewId="0">
      <selection activeCell="D15" sqref="D15"/>
    </sheetView>
  </sheetViews>
  <sheetFormatPr defaultRowHeight="15" x14ac:dyDescent="0.25"/>
  <cols>
    <col min="1" max="1" width="16" customWidth="1"/>
    <col min="2" max="2" width="10.85546875" bestFit="1" customWidth="1"/>
    <col min="3" max="3" width="9.140625" style="21"/>
    <col min="4" max="4" width="15.42578125" style="16" bestFit="1" customWidth="1"/>
    <col min="5" max="5" width="15" bestFit="1" customWidth="1"/>
    <col min="6" max="7" width="17.7109375" style="16" bestFit="1" customWidth="1"/>
    <col min="8" max="8" width="23" bestFit="1" customWidth="1"/>
    <col min="9" max="9" width="22" bestFit="1" customWidth="1"/>
  </cols>
  <sheetData>
    <row r="1" spans="1:9" x14ac:dyDescent="0.25">
      <c r="A1" s="13" t="s">
        <v>1</v>
      </c>
      <c r="B1" s="13" t="s">
        <v>4</v>
      </c>
      <c r="C1" s="20" t="s">
        <v>9</v>
      </c>
      <c r="D1" s="14" t="s">
        <v>2</v>
      </c>
      <c r="E1" s="2" t="s">
        <v>3</v>
      </c>
      <c r="F1" s="15" t="s">
        <v>7</v>
      </c>
      <c r="G1" s="15" t="s">
        <v>8</v>
      </c>
      <c r="H1" s="15" t="s">
        <v>5</v>
      </c>
      <c r="I1" s="15" t="s">
        <v>6</v>
      </c>
    </row>
    <row r="2" spans="1:9" x14ac:dyDescent="0.25">
      <c r="A2" t="s">
        <v>0</v>
      </c>
      <c r="B2" s="12" t="s">
        <v>10</v>
      </c>
      <c r="C2" s="21">
        <v>2017</v>
      </c>
      <c r="D2" s="1">
        <v>54896455</v>
      </c>
      <c r="E2" s="1">
        <v>246707</v>
      </c>
      <c r="F2" s="16">
        <v>0</v>
      </c>
      <c r="G2" s="16">
        <v>0</v>
      </c>
      <c r="H2" s="18" t="e">
        <f>D2/F2</f>
        <v>#DIV/0!</v>
      </c>
      <c r="I2" s="19" t="e">
        <f>E2/G2</f>
        <v>#DIV/0!</v>
      </c>
    </row>
    <row r="3" spans="1:9" x14ac:dyDescent="0.25">
      <c r="A3" t="s">
        <v>0</v>
      </c>
      <c r="B3" s="12" t="s">
        <v>11</v>
      </c>
      <c r="C3" s="21">
        <v>2017</v>
      </c>
      <c r="D3" s="1">
        <v>23822135</v>
      </c>
      <c r="E3" s="1">
        <v>106799</v>
      </c>
      <c r="F3" s="16">
        <v>0</v>
      </c>
      <c r="G3" s="16">
        <v>0</v>
      </c>
      <c r="H3" s="18" t="e">
        <f>D3/F3</f>
        <v>#DIV/0!</v>
      </c>
      <c r="I3" s="19" t="e">
        <f>E3/G3</f>
        <v>#DIV/0!</v>
      </c>
    </row>
    <row r="4" spans="1:9" x14ac:dyDescent="0.25">
      <c r="A4" t="s">
        <v>0</v>
      </c>
      <c r="B4" s="12" t="s">
        <v>12</v>
      </c>
      <c r="C4" s="21">
        <v>2017</v>
      </c>
      <c r="D4" s="1">
        <v>28198595</v>
      </c>
      <c r="E4" s="1">
        <v>127273</v>
      </c>
      <c r="F4" s="16">
        <v>0</v>
      </c>
      <c r="G4" s="16">
        <v>0</v>
      </c>
      <c r="H4" s="18" t="e">
        <f>D4/F4</f>
        <v>#DIV/0!</v>
      </c>
      <c r="I4" s="19" t="e">
        <f>E4/G4</f>
        <v>#DIV/0!</v>
      </c>
    </row>
    <row r="5" spans="1:9" x14ac:dyDescent="0.25">
      <c r="A5" t="s">
        <v>0</v>
      </c>
      <c r="B5" s="12" t="s">
        <v>13</v>
      </c>
      <c r="C5" s="21">
        <v>2017</v>
      </c>
      <c r="D5" s="1">
        <v>28245375</v>
      </c>
      <c r="E5" s="1">
        <v>127633</v>
      </c>
      <c r="F5" s="16">
        <v>0</v>
      </c>
      <c r="G5" s="16">
        <v>0</v>
      </c>
      <c r="H5" s="18" t="e">
        <f>D5/F5</f>
        <v>#DIV/0!</v>
      </c>
      <c r="I5" s="19" t="e">
        <f>E5/G5</f>
        <v>#DIV/0!</v>
      </c>
    </row>
    <row r="6" spans="1:9" x14ac:dyDescent="0.25">
      <c r="A6" t="s">
        <v>0</v>
      </c>
      <c r="B6" s="12" t="s">
        <v>14</v>
      </c>
      <c r="C6" s="21">
        <v>2017</v>
      </c>
      <c r="D6" s="1">
        <v>26922830</v>
      </c>
      <c r="E6" s="1">
        <v>114112</v>
      </c>
      <c r="F6" s="16">
        <v>0</v>
      </c>
      <c r="G6" s="16">
        <v>0</v>
      </c>
      <c r="H6" s="18" t="e">
        <f>D6/F6</f>
        <v>#DIV/0!</v>
      </c>
      <c r="I6" s="19" t="e">
        <f>E6/G6</f>
        <v>#DIV/0!</v>
      </c>
    </row>
    <row r="7" spans="1:9" x14ac:dyDescent="0.25">
      <c r="A7" t="s">
        <v>0</v>
      </c>
      <c r="B7" s="12" t="s">
        <v>15</v>
      </c>
      <c r="C7" s="21">
        <v>2017</v>
      </c>
      <c r="D7" s="1">
        <v>41750200</v>
      </c>
      <c r="E7" s="1">
        <v>179134</v>
      </c>
      <c r="F7" s="16">
        <v>0</v>
      </c>
      <c r="G7" s="16">
        <v>0</v>
      </c>
      <c r="H7" s="18" t="e">
        <f>D7/F7</f>
        <v>#DIV/0!</v>
      </c>
      <c r="I7" s="19" t="e">
        <f>E7/G7</f>
        <v>#DIV/0!</v>
      </c>
    </row>
    <row r="8" spans="1:9" x14ac:dyDescent="0.25">
      <c r="A8" t="s">
        <v>0</v>
      </c>
      <c r="B8" s="12" t="s">
        <v>16</v>
      </c>
      <c r="C8" s="21">
        <v>2018</v>
      </c>
      <c r="D8" s="1">
        <v>29589265</v>
      </c>
      <c r="E8" s="1">
        <v>117325</v>
      </c>
      <c r="F8" s="16">
        <v>0</v>
      </c>
      <c r="G8" s="16">
        <v>0</v>
      </c>
      <c r="H8" s="18" t="e">
        <f>D8/F8</f>
        <v>#DIV/0!</v>
      </c>
      <c r="I8" s="19" t="e">
        <f>E8/G8</f>
        <v>#DIV/0!</v>
      </c>
    </row>
    <row r="9" spans="1:9" x14ac:dyDescent="0.25">
      <c r="A9" t="s">
        <v>0</v>
      </c>
      <c r="B9" s="12" t="s">
        <v>17</v>
      </c>
      <c r="C9" s="21">
        <v>2018</v>
      </c>
      <c r="D9" s="1">
        <v>32710860</v>
      </c>
      <c r="E9" s="1">
        <v>136480</v>
      </c>
      <c r="F9" s="16">
        <v>0</v>
      </c>
      <c r="G9" s="16">
        <v>0</v>
      </c>
      <c r="H9" s="18" t="e">
        <f>D9/F9</f>
        <v>#DIV/0!</v>
      </c>
      <c r="I9" s="19" t="e">
        <f>E9/G9</f>
        <v>#DIV/0!</v>
      </c>
    </row>
    <row r="10" spans="1:9" x14ac:dyDescent="0.25">
      <c r="A10" t="s">
        <v>0</v>
      </c>
      <c r="B10" s="12" t="s">
        <v>18</v>
      </c>
      <c r="C10" s="21">
        <v>2018</v>
      </c>
      <c r="D10" s="1">
        <v>44007855</v>
      </c>
      <c r="E10" s="1">
        <v>187082</v>
      </c>
      <c r="F10" s="16">
        <v>0</v>
      </c>
      <c r="G10" s="16">
        <v>0</v>
      </c>
      <c r="H10" s="18" t="e">
        <f>D10/F10</f>
        <v>#DIV/0!</v>
      </c>
      <c r="I10" s="19" t="e">
        <f>E10/G10</f>
        <v>#DIV/0!</v>
      </c>
    </row>
    <row r="11" spans="1:9" x14ac:dyDescent="0.25">
      <c r="A11" t="s">
        <v>0</v>
      </c>
      <c r="B11" s="12" t="s">
        <v>19</v>
      </c>
      <c r="C11" s="21">
        <v>2018</v>
      </c>
      <c r="D11" s="1">
        <v>39734972</v>
      </c>
      <c r="E11" s="1">
        <v>173713</v>
      </c>
      <c r="F11" s="16">
        <v>0</v>
      </c>
      <c r="G11" s="16">
        <v>0</v>
      </c>
      <c r="H11" s="18" t="e">
        <f>D11/F11</f>
        <v>#DIV/0!</v>
      </c>
      <c r="I11" s="19" t="e">
        <f>E11/G11</f>
        <v>#DIV/0!</v>
      </c>
    </row>
    <row r="12" spans="1:9" x14ac:dyDescent="0.25">
      <c r="A12" t="s">
        <v>0</v>
      </c>
      <c r="B12" s="12" t="s">
        <v>20</v>
      </c>
      <c r="C12" s="21">
        <v>2018</v>
      </c>
      <c r="D12" s="1">
        <v>19136455</v>
      </c>
      <c r="E12" s="1">
        <v>85463</v>
      </c>
      <c r="F12" s="16">
        <v>0</v>
      </c>
      <c r="G12" s="16">
        <v>0</v>
      </c>
      <c r="H12" s="18" t="e">
        <f>D12/F12</f>
        <v>#DIV/0!</v>
      </c>
      <c r="I12" s="19" t="e">
        <f>E12/G12</f>
        <v>#DIV/0!</v>
      </c>
    </row>
    <row r="13" spans="1:9" x14ac:dyDescent="0.25">
      <c r="A13" t="s">
        <v>0</v>
      </c>
      <c r="B13" s="12" t="s">
        <v>21</v>
      </c>
      <c r="C13" s="21">
        <v>2018</v>
      </c>
      <c r="D13" s="1">
        <v>59700170</v>
      </c>
      <c r="E13" s="1">
        <v>256927</v>
      </c>
      <c r="F13" s="16">
        <v>0</v>
      </c>
      <c r="G13" s="16">
        <v>0</v>
      </c>
      <c r="H13" s="18" t="e">
        <f>D13/F13</f>
        <v>#DIV/0!</v>
      </c>
      <c r="I13" s="19" t="e">
        <f>E13/G13</f>
        <v>#DIV/0!</v>
      </c>
    </row>
    <row r="14" spans="1:9" x14ac:dyDescent="0.25">
      <c r="A14" t="s">
        <v>0</v>
      </c>
      <c r="B14" s="12" t="s">
        <v>10</v>
      </c>
      <c r="C14" s="21">
        <v>2018</v>
      </c>
      <c r="D14" s="1">
        <v>42029870</v>
      </c>
      <c r="E14" s="1">
        <v>156818</v>
      </c>
      <c r="F14" s="16">
        <v>0</v>
      </c>
      <c r="G14" s="16">
        <v>0</v>
      </c>
      <c r="H14" s="18" t="e">
        <f>D14/F14</f>
        <v>#DIV/0!</v>
      </c>
      <c r="I14" s="19" t="e">
        <f>E14/G14</f>
        <v>#DIV/0!</v>
      </c>
    </row>
    <row r="15" spans="1:9" x14ac:dyDescent="0.25">
      <c r="A15" t="s">
        <v>0</v>
      </c>
      <c r="B15" s="12" t="s">
        <v>11</v>
      </c>
      <c r="C15" s="21">
        <v>2018</v>
      </c>
      <c r="D15" s="1">
        <v>34275770</v>
      </c>
      <c r="E15" s="1">
        <v>135554</v>
      </c>
      <c r="F15" s="16">
        <v>0</v>
      </c>
      <c r="G15" s="16">
        <v>0</v>
      </c>
      <c r="H15" s="18" t="e">
        <f>D15/F15</f>
        <v>#DIV/0!</v>
      </c>
      <c r="I15" s="19" t="e">
        <f>E15/G15</f>
        <v>#DIV/0!</v>
      </c>
    </row>
    <row r="16" spans="1:9" x14ac:dyDescent="0.25">
      <c r="A16" t="s">
        <v>0</v>
      </c>
      <c r="B16" s="12" t="s">
        <v>12</v>
      </c>
      <c r="C16" s="21">
        <v>2018</v>
      </c>
      <c r="D16" s="1">
        <v>23444705</v>
      </c>
      <c r="E16" s="1">
        <v>88846</v>
      </c>
      <c r="F16" s="16">
        <v>0</v>
      </c>
      <c r="G16" s="16">
        <v>0</v>
      </c>
      <c r="H16" s="18" t="e">
        <f>D16/F16</f>
        <v>#DIV/0!</v>
      </c>
      <c r="I16" s="19" t="e">
        <f>E16/G16</f>
        <v>#DIV/0!</v>
      </c>
    </row>
    <row r="17" spans="1:9" x14ac:dyDescent="0.25">
      <c r="A17" t="s">
        <v>0</v>
      </c>
      <c r="B17" s="12" t="s">
        <v>13</v>
      </c>
      <c r="C17" s="21">
        <v>2018</v>
      </c>
      <c r="D17" s="1">
        <v>30939815</v>
      </c>
      <c r="E17" s="1">
        <v>116628</v>
      </c>
      <c r="F17" s="16">
        <v>0</v>
      </c>
      <c r="G17" s="16">
        <v>0</v>
      </c>
      <c r="H17" s="18" t="e">
        <f>D17/F17</f>
        <v>#DIV/0!</v>
      </c>
      <c r="I17" s="19" t="e">
        <f>E17/G17</f>
        <v>#DIV/0!</v>
      </c>
    </row>
    <row r="18" spans="1:9" x14ac:dyDescent="0.25">
      <c r="A18" t="s">
        <v>0</v>
      </c>
      <c r="B18" s="12" t="s">
        <v>14</v>
      </c>
      <c r="C18" s="21">
        <v>2018</v>
      </c>
      <c r="D18" s="1">
        <v>33274005</v>
      </c>
      <c r="E18" s="1">
        <v>112232</v>
      </c>
      <c r="F18" s="16">
        <v>0</v>
      </c>
      <c r="G18" s="16">
        <v>0</v>
      </c>
      <c r="H18" s="18" t="e">
        <f>D18/F18</f>
        <v>#DIV/0!</v>
      </c>
      <c r="I18" s="19" t="e">
        <f>E18/G18</f>
        <v>#DIV/0!</v>
      </c>
    </row>
    <row r="19" spans="1:9" x14ac:dyDescent="0.25">
      <c r="A19" t="s">
        <v>0</v>
      </c>
      <c r="B19" s="12" t="s">
        <v>15</v>
      </c>
      <c r="C19" s="21">
        <v>2018</v>
      </c>
      <c r="D19" s="1">
        <v>45402665</v>
      </c>
      <c r="E19" s="1">
        <v>173206</v>
      </c>
      <c r="F19" s="16">
        <v>0</v>
      </c>
      <c r="G19" s="16">
        <v>0</v>
      </c>
      <c r="H19" s="18" t="e">
        <f>D19/F19</f>
        <v>#DIV/0!</v>
      </c>
      <c r="I19" s="19" t="e">
        <f>E19/G19</f>
        <v>#DIV/0!</v>
      </c>
    </row>
    <row r="20" spans="1:9" x14ac:dyDescent="0.25">
      <c r="A20" t="s">
        <v>0</v>
      </c>
      <c r="B20" s="12" t="s">
        <v>16</v>
      </c>
      <c r="C20" s="21">
        <v>2019</v>
      </c>
      <c r="D20" s="1">
        <v>29866620</v>
      </c>
      <c r="E20" s="1">
        <v>112927</v>
      </c>
      <c r="F20" s="16">
        <v>0</v>
      </c>
      <c r="G20" s="16">
        <v>0</v>
      </c>
      <c r="H20" s="18" t="e">
        <f>D20/F20</f>
        <v>#DIV/0!</v>
      </c>
      <c r="I20" s="19" t="e">
        <f>E20/G20</f>
        <v>#DIV/0!</v>
      </c>
    </row>
    <row r="21" spans="1:9" x14ac:dyDescent="0.25">
      <c r="A21" t="s">
        <v>0</v>
      </c>
      <c r="B21" s="12" t="s">
        <v>17</v>
      </c>
      <c r="C21" s="21">
        <v>2019</v>
      </c>
      <c r="D21" s="1">
        <v>29124275</v>
      </c>
      <c r="E21" s="1">
        <v>111052</v>
      </c>
      <c r="F21" s="16">
        <v>0</v>
      </c>
      <c r="G21" s="16">
        <v>0</v>
      </c>
      <c r="H21" s="18" t="e">
        <f>D21/F21</f>
        <v>#DIV/0!</v>
      </c>
      <c r="I21" s="19" t="e">
        <f>E21/G21</f>
        <v>#DIV/0!</v>
      </c>
    </row>
    <row r="22" spans="1:9" x14ac:dyDescent="0.25">
      <c r="A22" t="s">
        <v>0</v>
      </c>
      <c r="B22" s="12" t="s">
        <v>18</v>
      </c>
      <c r="C22" s="21">
        <v>2019</v>
      </c>
      <c r="D22" s="1">
        <v>44877790</v>
      </c>
      <c r="E22" s="1">
        <v>173231</v>
      </c>
      <c r="F22" s="16">
        <v>0</v>
      </c>
      <c r="G22" s="16">
        <v>0</v>
      </c>
      <c r="H22" s="18" t="e">
        <f>D22/F22</f>
        <v>#DIV/0!</v>
      </c>
      <c r="I22" s="19" t="e">
        <f>E22/G22</f>
        <v>#DIV/0!</v>
      </c>
    </row>
    <row r="23" spans="1:9" x14ac:dyDescent="0.25">
      <c r="A23" t="s">
        <v>0</v>
      </c>
      <c r="B23" s="12" t="s">
        <v>19</v>
      </c>
      <c r="C23" s="21">
        <v>2019</v>
      </c>
      <c r="D23" s="1">
        <v>38496935</v>
      </c>
      <c r="E23" s="1">
        <v>149241</v>
      </c>
      <c r="F23" s="16">
        <v>0</v>
      </c>
      <c r="G23" s="16">
        <v>0</v>
      </c>
      <c r="H23" s="18" t="e">
        <f>D23/F23</f>
        <v>#DIV/0!</v>
      </c>
      <c r="I23" s="19" t="e">
        <f>E23/G23</f>
        <v>#DIV/0!</v>
      </c>
    </row>
    <row r="24" spans="1:9" x14ac:dyDescent="0.25">
      <c r="A24" t="s">
        <v>0</v>
      </c>
      <c r="B24" s="12" t="s">
        <v>20</v>
      </c>
      <c r="C24" s="21">
        <v>2019</v>
      </c>
      <c r="D24" s="1">
        <v>14098240</v>
      </c>
      <c r="E24" s="1">
        <v>55653</v>
      </c>
      <c r="F24" s="16">
        <v>0</v>
      </c>
      <c r="G24" s="16">
        <v>0</v>
      </c>
      <c r="H24" s="18" t="e">
        <f>D24/F24</f>
        <v>#DIV/0!</v>
      </c>
      <c r="I24" s="19" t="e">
        <f>E24/G24</f>
        <v>#DIV/0!</v>
      </c>
    </row>
    <row r="25" spans="1:9" x14ac:dyDescent="0.25">
      <c r="A25" t="s">
        <v>0</v>
      </c>
      <c r="B25" s="12" t="s">
        <v>21</v>
      </c>
      <c r="C25" s="21">
        <v>2019</v>
      </c>
      <c r="D25" s="1">
        <v>75548875</v>
      </c>
      <c r="E25" s="1">
        <v>301670</v>
      </c>
      <c r="F25" s="16">
        <v>0</v>
      </c>
      <c r="G25" s="16">
        <v>0</v>
      </c>
      <c r="H25" s="18" t="e">
        <f>D25/F25</f>
        <v>#DIV/0!</v>
      </c>
      <c r="I25" s="19" t="e">
        <f>E25/G25</f>
        <v>#DIV/0!</v>
      </c>
    </row>
    <row r="26" spans="1:9" x14ac:dyDescent="0.25">
      <c r="A26" t="s">
        <v>0</v>
      </c>
      <c r="B26" s="12" t="s">
        <v>10</v>
      </c>
      <c r="C26" s="21">
        <v>2019</v>
      </c>
      <c r="D26" s="1">
        <v>47106365</v>
      </c>
      <c r="E26" s="1">
        <v>167533</v>
      </c>
      <c r="F26" s="1">
        <v>50799455.205109783</v>
      </c>
      <c r="G26" s="17">
        <v>0</v>
      </c>
      <c r="H26" s="18">
        <f>D26/F26</f>
        <v>0.92730059426428058</v>
      </c>
      <c r="I26" s="19" t="e">
        <f>E26/G26</f>
        <v>#DIV/0!</v>
      </c>
    </row>
    <row r="27" spans="1:9" x14ac:dyDescent="0.25">
      <c r="A27" t="s">
        <v>0</v>
      </c>
      <c r="B27" s="12" t="s">
        <v>11</v>
      </c>
      <c r="C27" s="21">
        <v>2019</v>
      </c>
      <c r="D27" s="1">
        <v>41662435</v>
      </c>
      <c r="E27" s="1">
        <v>151256</v>
      </c>
      <c r="F27" s="1">
        <v>50799455.205109783</v>
      </c>
      <c r="G27" s="17">
        <v>0</v>
      </c>
      <c r="H27" s="18">
        <f>D27/F27</f>
        <v>0.82013546861442099</v>
      </c>
      <c r="I27" s="19" t="e">
        <f>E27/G27</f>
        <v>#DIV/0!</v>
      </c>
    </row>
    <row r="28" spans="1:9" x14ac:dyDescent="0.25">
      <c r="A28" t="s">
        <v>0</v>
      </c>
      <c r="B28" s="12" t="s">
        <v>12</v>
      </c>
      <c r="C28" s="21">
        <v>2019</v>
      </c>
      <c r="D28" s="1">
        <v>24294410</v>
      </c>
      <c r="E28" s="1">
        <v>85536</v>
      </c>
      <c r="F28" s="1">
        <v>23700321.545887329</v>
      </c>
      <c r="G28" s="17">
        <v>0</v>
      </c>
      <c r="H28" s="18">
        <f>D28/F28</f>
        <v>1.0250666832921413</v>
      </c>
      <c r="I28" s="19" t="e">
        <f>E28/G28</f>
        <v>#DIV/0!</v>
      </c>
    </row>
    <row r="29" spans="1:9" x14ac:dyDescent="0.25">
      <c r="A29" t="s">
        <v>0</v>
      </c>
      <c r="B29" s="12" t="s">
        <v>13</v>
      </c>
      <c r="C29" s="21">
        <v>2019</v>
      </c>
      <c r="D29" s="1">
        <v>37836175</v>
      </c>
      <c r="E29" s="1">
        <v>131900</v>
      </c>
      <c r="F29" s="1">
        <v>38526491.142976217</v>
      </c>
      <c r="G29" s="17">
        <v>0</v>
      </c>
      <c r="H29" s="18">
        <f>D29/F29</f>
        <v>0.98208203959155338</v>
      </c>
      <c r="I29" s="19" t="e">
        <f>E29/G29</f>
        <v>#DIV/0!</v>
      </c>
    </row>
    <row r="30" spans="1:9" x14ac:dyDescent="0.25">
      <c r="A30" t="s">
        <v>0</v>
      </c>
      <c r="B30" s="12" t="s">
        <v>14</v>
      </c>
      <c r="C30" s="21">
        <v>2019</v>
      </c>
      <c r="D30" s="1">
        <v>43699815</v>
      </c>
      <c r="E30" s="1">
        <v>141755</v>
      </c>
      <c r="F30" s="1">
        <v>48019331.169673204</v>
      </c>
      <c r="G30" s="17">
        <v>0</v>
      </c>
      <c r="H30" s="18">
        <f>D30/F30</f>
        <v>0.91004630709223178</v>
      </c>
      <c r="I30" s="19" t="e">
        <f>E30/G30</f>
        <v>#DIV/0!</v>
      </c>
    </row>
    <row r="31" spans="1:9" x14ac:dyDescent="0.25">
      <c r="A31" t="s">
        <v>0</v>
      </c>
      <c r="B31" s="12" t="s">
        <v>15</v>
      </c>
      <c r="C31" s="21">
        <v>2019</v>
      </c>
      <c r="D31" s="1">
        <v>38627760</v>
      </c>
      <c r="E31" s="1">
        <v>130312</v>
      </c>
      <c r="F31" s="1">
        <v>53761809.196075059</v>
      </c>
      <c r="G31" s="17">
        <v>0</v>
      </c>
      <c r="H31" s="18">
        <f>D31/F31</f>
        <v>0.71849814166633486</v>
      </c>
      <c r="I31" s="19" t="e">
        <f>E31/G31</f>
        <v>#DIV/0!</v>
      </c>
    </row>
    <row r="32" spans="1:9" x14ac:dyDescent="0.25">
      <c r="A32" t="s">
        <v>0</v>
      </c>
      <c r="B32" s="12" t="s">
        <v>16</v>
      </c>
      <c r="C32" s="21">
        <v>2020</v>
      </c>
      <c r="D32" s="1">
        <v>33003895</v>
      </c>
      <c r="E32" s="1">
        <v>108255</v>
      </c>
      <c r="F32" s="1">
        <v>31034953.121070642</v>
      </c>
      <c r="G32" s="17">
        <v>0</v>
      </c>
      <c r="H32" s="18">
        <f>D32/F32</f>
        <v>1.0634427212197908</v>
      </c>
      <c r="I32" s="19" t="e">
        <f>E32/G32</f>
        <v>#DIV/0!</v>
      </c>
    </row>
    <row r="33" spans="1:9" x14ac:dyDescent="0.25">
      <c r="A33" t="s">
        <v>0</v>
      </c>
      <c r="B33" s="12" t="s">
        <v>17</v>
      </c>
      <c r="C33" s="21">
        <v>2020</v>
      </c>
      <c r="D33" s="1">
        <v>41477635</v>
      </c>
      <c r="E33" s="1">
        <v>133101</v>
      </c>
      <c r="F33" s="1">
        <v>31852256.954313826</v>
      </c>
      <c r="G33" s="17">
        <v>0</v>
      </c>
      <c r="H33" s="18">
        <f>D33/F33</f>
        <v>1.3021882581034054</v>
      </c>
      <c r="I33" s="19" t="e">
        <f>E33/G33</f>
        <v>#DIV/0!</v>
      </c>
    </row>
    <row r="34" spans="1:9" x14ac:dyDescent="0.25">
      <c r="A34" t="s">
        <v>0</v>
      </c>
      <c r="B34" s="12" t="s">
        <v>18</v>
      </c>
      <c r="C34" s="21">
        <v>2020</v>
      </c>
      <c r="D34" s="1">
        <v>18297573</v>
      </c>
      <c r="E34" s="1">
        <v>59322</v>
      </c>
      <c r="F34" s="1">
        <v>46478072.908198811</v>
      </c>
      <c r="G34" s="17">
        <v>0</v>
      </c>
      <c r="H34" s="18">
        <f>D34/F34</f>
        <v>0.3936818343596229</v>
      </c>
      <c r="I34" s="19" t="e">
        <f>E34/G34</f>
        <v>#DIV/0!</v>
      </c>
    </row>
    <row r="35" spans="1:9" x14ac:dyDescent="0.25">
      <c r="A35" t="s">
        <v>0</v>
      </c>
      <c r="B35" s="12" t="s">
        <v>19</v>
      </c>
      <c r="C35" s="21">
        <v>2020</v>
      </c>
      <c r="D35" s="1">
        <v>0</v>
      </c>
      <c r="E35" s="1">
        <v>0</v>
      </c>
      <c r="F35" s="1">
        <v>30903121.913460638</v>
      </c>
      <c r="G35" s="17">
        <v>0</v>
      </c>
      <c r="H35" s="18">
        <f>D35/F35</f>
        <v>0</v>
      </c>
      <c r="I35" s="19" t="e">
        <f>E35/G35</f>
        <v>#DIV/0!</v>
      </c>
    </row>
    <row r="36" spans="1:9" x14ac:dyDescent="0.25">
      <c r="A36" t="s">
        <v>0</v>
      </c>
      <c r="B36" s="12" t="s">
        <v>20</v>
      </c>
      <c r="C36" s="21">
        <v>2020</v>
      </c>
      <c r="D36" s="1">
        <v>0</v>
      </c>
      <c r="E36" s="1">
        <v>0</v>
      </c>
      <c r="F36" s="1">
        <v>48104735.944471397</v>
      </c>
      <c r="G36" s="17">
        <v>0</v>
      </c>
      <c r="H36" s="18">
        <f>D36/F36</f>
        <v>0</v>
      </c>
      <c r="I36" s="19" t="e">
        <f>E36/G36</f>
        <v>#DIV/0!</v>
      </c>
    </row>
    <row r="37" spans="1:9" x14ac:dyDescent="0.25">
      <c r="A37" t="s">
        <v>0</v>
      </c>
      <c r="B37" s="12" t="s">
        <v>21</v>
      </c>
      <c r="C37" s="21">
        <v>2020</v>
      </c>
      <c r="D37" s="1">
        <v>0</v>
      </c>
      <c r="E37" s="1">
        <v>0</v>
      </c>
      <c r="F37" s="1">
        <v>63272028.101364702</v>
      </c>
      <c r="G37" s="17">
        <v>0</v>
      </c>
      <c r="H37" s="18">
        <f>D37/F37</f>
        <v>0</v>
      </c>
      <c r="I37" s="19" t="e">
        <f>E37/G37</f>
        <v>#DIV/0!</v>
      </c>
    </row>
    <row r="38" spans="1:9" x14ac:dyDescent="0.25">
      <c r="A38" t="s">
        <v>0</v>
      </c>
      <c r="B38" s="12" t="s">
        <v>10</v>
      </c>
      <c r="C38" s="21">
        <v>2020</v>
      </c>
      <c r="D38" s="1"/>
      <c r="E38" s="1">
        <v>0</v>
      </c>
      <c r="F38" s="1">
        <v>0</v>
      </c>
      <c r="G38" s="1">
        <v>0</v>
      </c>
      <c r="H38" s="18" t="e">
        <f>D38/F38</f>
        <v>#DIV/0!</v>
      </c>
      <c r="I38" s="19" t="e">
        <f>E38/G38</f>
        <v>#DIV/0!</v>
      </c>
    </row>
    <row r="39" spans="1:9" x14ac:dyDescent="0.25">
      <c r="A39" t="s">
        <v>0</v>
      </c>
      <c r="B39" s="12" t="s">
        <v>11</v>
      </c>
      <c r="C39" s="21">
        <v>2020</v>
      </c>
      <c r="D39" s="1">
        <v>24942905</v>
      </c>
      <c r="E39" s="1">
        <v>81927</v>
      </c>
      <c r="F39" s="1">
        <v>24954475</v>
      </c>
      <c r="G39" s="1">
        <v>81927</v>
      </c>
      <c r="H39" s="18">
        <f>D39/F39</f>
        <v>0.99953635570373656</v>
      </c>
      <c r="I39" s="19">
        <f>E39/G39</f>
        <v>1</v>
      </c>
    </row>
    <row r="40" spans="1:9" x14ac:dyDescent="0.25">
      <c r="A40" t="s">
        <v>0</v>
      </c>
      <c r="B40" s="12" t="s">
        <v>12</v>
      </c>
      <c r="C40" s="21">
        <v>2020</v>
      </c>
      <c r="D40" s="1">
        <v>42319830</v>
      </c>
      <c r="E40" s="1">
        <v>140237</v>
      </c>
      <c r="F40" s="1">
        <v>42150660</v>
      </c>
      <c r="G40" s="1">
        <v>140237</v>
      </c>
      <c r="H40" s="18">
        <f>D40/F40</f>
        <v>1.0040134602874546</v>
      </c>
      <c r="I40" s="19">
        <f>E40/G40</f>
        <v>1</v>
      </c>
    </row>
    <row r="41" spans="1:9" x14ac:dyDescent="0.25">
      <c r="A41" t="s">
        <v>0</v>
      </c>
      <c r="B41" s="12" t="s">
        <v>13</v>
      </c>
      <c r="C41" s="21">
        <v>2020</v>
      </c>
      <c r="D41" s="1">
        <v>32900215</v>
      </c>
      <c r="E41" s="1">
        <v>107453</v>
      </c>
      <c r="F41" s="1">
        <v>34585000</v>
      </c>
      <c r="G41" s="1">
        <v>115000</v>
      </c>
      <c r="H41" s="18">
        <f>D41/F41</f>
        <v>0.95128567297961542</v>
      </c>
      <c r="I41" s="19">
        <f>E41/G41</f>
        <v>0.93437391304347828</v>
      </c>
    </row>
    <row r="42" spans="1:9" x14ac:dyDescent="0.25">
      <c r="A42" t="s">
        <v>0</v>
      </c>
      <c r="B42" s="12" t="s">
        <v>14</v>
      </c>
      <c r="C42" s="21">
        <v>2020</v>
      </c>
      <c r="D42" s="1">
        <v>11851390</v>
      </c>
      <c r="E42" s="1">
        <v>36876</v>
      </c>
      <c r="F42" s="1">
        <v>40773165</v>
      </c>
      <c r="G42" s="1">
        <v>130000</v>
      </c>
      <c r="H42" s="18">
        <f>D42/F42</f>
        <v>0.29066642238835272</v>
      </c>
      <c r="I42" s="19">
        <f>E42/G42</f>
        <v>0.28366153846153846</v>
      </c>
    </row>
    <row r="43" spans="1:9" x14ac:dyDescent="0.25">
      <c r="A43" t="s">
        <v>0</v>
      </c>
      <c r="B43" s="12" t="s">
        <v>15</v>
      </c>
      <c r="C43" s="21">
        <v>2020</v>
      </c>
      <c r="D43" s="1">
        <v>14525590</v>
      </c>
      <c r="E43" s="1">
        <v>46155</v>
      </c>
      <c r="F43" s="1">
        <v>45000000</v>
      </c>
      <c r="G43" s="1">
        <v>150000</v>
      </c>
      <c r="H43" s="18">
        <f>D43/F43</f>
        <v>0.3227908888888889</v>
      </c>
      <c r="I43" s="19">
        <f>E43/G43</f>
        <v>0.30769999999999997</v>
      </c>
    </row>
    <row r="44" spans="1:9" x14ac:dyDescent="0.25">
      <c r="A44" t="s">
        <v>0</v>
      </c>
      <c r="B44" s="12" t="s">
        <v>16</v>
      </c>
      <c r="C44" s="21">
        <v>2021</v>
      </c>
      <c r="D44" s="1">
        <v>17353120</v>
      </c>
      <c r="E44" s="1">
        <v>55276</v>
      </c>
      <c r="F44" s="1">
        <v>39190000</v>
      </c>
      <c r="G44" s="1">
        <v>130000</v>
      </c>
      <c r="H44" s="18">
        <f>D44/F44</f>
        <v>0.44279459045674918</v>
      </c>
      <c r="I44" s="19">
        <f>E44/G44</f>
        <v>0.42520000000000002</v>
      </c>
    </row>
    <row r="45" spans="1:9" x14ac:dyDescent="0.25">
      <c r="A45" t="s">
        <v>0</v>
      </c>
      <c r="B45" s="12" t="s">
        <v>17</v>
      </c>
      <c r="C45" s="21">
        <v>2021</v>
      </c>
      <c r="D45" s="1">
        <v>19916353</v>
      </c>
      <c r="E45" s="1">
        <v>62528</v>
      </c>
      <c r="F45" s="1">
        <v>36500000</v>
      </c>
      <c r="G45" s="1">
        <v>120000</v>
      </c>
      <c r="H45" s="18">
        <f>D45/F45</f>
        <v>0.54565350684931502</v>
      </c>
      <c r="I45" s="19">
        <f>E45/G45</f>
        <v>0.52106666666666668</v>
      </c>
    </row>
    <row r="46" spans="1:9" x14ac:dyDescent="0.25">
      <c r="A46" t="s">
        <v>0</v>
      </c>
      <c r="B46" s="12" t="s">
        <v>18</v>
      </c>
      <c r="C46" s="21">
        <v>2021</v>
      </c>
      <c r="D46" s="1">
        <v>21799830</v>
      </c>
      <c r="E46" s="1">
        <v>68003</v>
      </c>
      <c r="F46" s="1">
        <v>45170000</v>
      </c>
      <c r="G46" s="1">
        <v>150000</v>
      </c>
      <c r="H46" s="18">
        <f>D46/F46</f>
        <v>0.48261744520699579</v>
      </c>
      <c r="I46" s="19">
        <f>E46/G46</f>
        <v>0.45335333333333333</v>
      </c>
    </row>
    <row r="47" spans="1:9" x14ac:dyDescent="0.25">
      <c r="A47" t="s">
        <v>0</v>
      </c>
      <c r="B47" s="12" t="s">
        <v>19</v>
      </c>
      <c r="C47" s="21">
        <v>2021</v>
      </c>
      <c r="D47" s="1">
        <v>0</v>
      </c>
      <c r="E47" s="1">
        <v>0</v>
      </c>
      <c r="F47" s="1">
        <v>30132000</v>
      </c>
      <c r="G47" s="1">
        <v>100000</v>
      </c>
      <c r="H47" s="18">
        <f>D47/F47</f>
        <v>0</v>
      </c>
      <c r="I47" s="19">
        <f>E47/G47</f>
        <v>0</v>
      </c>
    </row>
    <row r="48" spans="1:9" x14ac:dyDescent="0.25">
      <c r="A48" t="s">
        <v>0</v>
      </c>
      <c r="B48" s="12" t="s">
        <v>20</v>
      </c>
      <c r="C48" s="21">
        <v>2021</v>
      </c>
      <c r="D48" s="1">
        <v>0</v>
      </c>
      <c r="E48" s="1">
        <v>0</v>
      </c>
      <c r="F48" s="1">
        <v>75000000</v>
      </c>
      <c r="G48" s="1">
        <v>250000</v>
      </c>
      <c r="H48" s="18">
        <f>D48/F48</f>
        <v>0</v>
      </c>
      <c r="I48" s="19">
        <f>E48/G48</f>
        <v>0</v>
      </c>
    </row>
    <row r="49" spans="1:9" x14ac:dyDescent="0.25">
      <c r="A49" t="s">
        <v>0</v>
      </c>
      <c r="B49" s="12" t="s">
        <v>21</v>
      </c>
      <c r="C49" s="21">
        <v>2021</v>
      </c>
      <c r="D49" s="1">
        <v>13306860</v>
      </c>
      <c r="E49" s="1">
        <v>38823</v>
      </c>
      <c r="F49" s="1">
        <v>69300000</v>
      </c>
      <c r="G49" s="1">
        <v>230000</v>
      </c>
      <c r="H49" s="18">
        <f>D49/F49</f>
        <v>0.19201818181818181</v>
      </c>
      <c r="I49" s="19">
        <f>E49/G49</f>
        <v>0.16879565217391304</v>
      </c>
    </row>
    <row r="50" spans="1:9" x14ac:dyDescent="0.25">
      <c r="A50" t="s">
        <v>0</v>
      </c>
      <c r="B50" s="12" t="s">
        <v>10</v>
      </c>
      <c r="C50" s="21">
        <v>2021</v>
      </c>
      <c r="D50" s="1">
        <v>42622070</v>
      </c>
      <c r="E50" s="1">
        <v>133168</v>
      </c>
      <c r="F50" s="1">
        <v>75900000</v>
      </c>
      <c r="G50" s="1">
        <v>216857.14285714287</v>
      </c>
      <c r="H50" s="18">
        <f>D50/F50</f>
        <v>0.56155559947299083</v>
      </c>
      <c r="I50" s="19">
        <f>E50/G50</f>
        <v>0.61408168642951244</v>
      </c>
    </row>
    <row r="51" spans="1:9" x14ac:dyDescent="0.25">
      <c r="A51" t="s">
        <v>0</v>
      </c>
      <c r="B51" s="12" t="s">
        <v>11</v>
      </c>
      <c r="C51" s="21">
        <v>2021</v>
      </c>
      <c r="D51" s="1">
        <v>1265780</v>
      </c>
      <c r="E51" s="1">
        <v>3428</v>
      </c>
      <c r="F51" s="1">
        <v>33000000</v>
      </c>
      <c r="G51" s="1">
        <v>94285.71428571429</v>
      </c>
      <c r="H51" s="18">
        <f>D51/F51</f>
        <v>3.8356969696969695E-2</v>
      </c>
      <c r="I51" s="19">
        <f>E51/G51</f>
        <v>3.6357575757575755E-2</v>
      </c>
    </row>
    <row r="52" spans="1:9" x14ac:dyDescent="0.25">
      <c r="A52" t="s">
        <v>0</v>
      </c>
      <c r="B52" s="12" t="s">
        <v>12</v>
      </c>
      <c r="C52" s="21">
        <v>2021</v>
      </c>
      <c r="D52" s="1">
        <v>9122650</v>
      </c>
      <c r="E52" s="1">
        <v>24608</v>
      </c>
      <c r="F52" s="1">
        <v>26400000</v>
      </c>
      <c r="G52" s="1">
        <v>75428.571428571435</v>
      </c>
      <c r="H52" s="18">
        <f>D52/F52</f>
        <v>0.34555492424242423</v>
      </c>
      <c r="I52" s="19">
        <f>E52/G52</f>
        <v>0.32624242424242422</v>
      </c>
    </row>
    <row r="53" spans="1:9" x14ac:dyDescent="0.25">
      <c r="A53" t="s">
        <v>0</v>
      </c>
      <c r="B53" s="12" t="s">
        <v>13</v>
      </c>
      <c r="C53" s="21">
        <v>2021</v>
      </c>
      <c r="D53" s="1">
        <v>36751140</v>
      </c>
      <c r="E53" s="1">
        <v>97610</v>
      </c>
      <c r="F53" s="1">
        <v>48081721.078463905</v>
      </c>
      <c r="G53" s="1">
        <v>137376.34593846829</v>
      </c>
      <c r="H53" s="18">
        <f>D53/F53</f>
        <v>0.76434743132481298</v>
      </c>
      <c r="I53" s="19">
        <f>E53/G53</f>
        <v>0.71052989023103086</v>
      </c>
    </row>
    <row r="54" spans="1:9" x14ac:dyDescent="0.25">
      <c r="A54" t="s">
        <v>0</v>
      </c>
      <c r="B54" s="12" t="s">
        <v>14</v>
      </c>
      <c r="C54" s="21">
        <v>2021</v>
      </c>
      <c r="D54" s="1">
        <v>62343730</v>
      </c>
      <c r="E54" s="1">
        <v>170086</v>
      </c>
      <c r="F54" s="1">
        <v>53427941.238783814</v>
      </c>
      <c r="G54" s="1">
        <v>152651.26068223946</v>
      </c>
      <c r="H54" s="18">
        <f>D54/F54</f>
        <v>1.1668750199707141</v>
      </c>
      <c r="I54" s="19">
        <f>E54/G54</f>
        <v>1.1142128747567495</v>
      </c>
    </row>
    <row r="55" spans="1:9" x14ac:dyDescent="0.25">
      <c r="A55" t="s">
        <v>0</v>
      </c>
      <c r="B55" s="12" t="s">
        <v>15</v>
      </c>
      <c r="C55" s="21">
        <v>2021</v>
      </c>
      <c r="D55" s="1">
        <v>78951350</v>
      </c>
      <c r="E55" s="1">
        <v>210715</v>
      </c>
      <c r="F55" s="1">
        <v>51124954.092799857</v>
      </c>
      <c r="G55" s="1">
        <v>146071.29740799961</v>
      </c>
      <c r="H55" s="18">
        <f>D55/F55</f>
        <v>1.5442820712697529</v>
      </c>
      <c r="I55" s="19">
        <f>E55/G55</f>
        <v>1.4425489725845357</v>
      </c>
    </row>
    <row r="56" spans="1:9" x14ac:dyDescent="0.25">
      <c r="A56" t="s">
        <v>0</v>
      </c>
      <c r="B56" s="12" t="s">
        <v>16</v>
      </c>
      <c r="C56" s="21">
        <v>2022</v>
      </c>
      <c r="D56" s="1">
        <v>51763910</v>
      </c>
      <c r="E56" s="1">
        <v>139653</v>
      </c>
      <c r="F56" s="1">
        <v>43218979.800831936</v>
      </c>
      <c r="G56" s="1">
        <v>123482.79943094839</v>
      </c>
      <c r="H56" s="18">
        <f>D56/F56</f>
        <v>1.1977124457482817</v>
      </c>
      <c r="I56" s="19">
        <f>E56/G56</f>
        <v>1.130951036448554</v>
      </c>
    </row>
    <row r="57" spans="1:9" x14ac:dyDescent="0.25">
      <c r="A57" t="s">
        <v>0</v>
      </c>
      <c r="B57" s="12" t="s">
        <v>17</v>
      </c>
      <c r="C57" s="21">
        <v>2022</v>
      </c>
      <c r="D57" s="1">
        <v>53479730</v>
      </c>
      <c r="E57" s="1">
        <v>132741</v>
      </c>
      <c r="F57" s="1">
        <v>44123724.751039922</v>
      </c>
      <c r="G57" s="1">
        <v>126067.78500297121</v>
      </c>
      <c r="H57" s="18">
        <f>D57/F57</f>
        <v>1.2120402414290641</v>
      </c>
      <c r="I57" s="19">
        <f>E57/G57</f>
        <v>1.0529335467968404</v>
      </c>
    </row>
    <row r="58" spans="1:9" x14ac:dyDescent="0.25">
      <c r="A58" t="s">
        <v>0</v>
      </c>
      <c r="B58" s="12" t="s">
        <v>18</v>
      </c>
      <c r="C58" s="21">
        <v>2022</v>
      </c>
      <c r="D58" s="1">
        <v>76846880</v>
      </c>
      <c r="E58" s="1">
        <v>199919</v>
      </c>
      <c r="F58" s="1">
        <v>51885236.686911955</v>
      </c>
      <c r="G58" s="1">
        <v>148243.53339117701</v>
      </c>
      <c r="H58" s="18">
        <f>D58/F58</f>
        <v>1.4810933688847296</v>
      </c>
      <c r="I58" s="19">
        <f>E58/G58</f>
        <v>1.3485849630449955</v>
      </c>
    </row>
    <row r="59" spans="1:9" x14ac:dyDescent="0.25">
      <c r="A59" t="s">
        <v>0</v>
      </c>
      <c r="B59" s="12" t="s">
        <v>19</v>
      </c>
      <c r="C59" s="21">
        <v>2022</v>
      </c>
      <c r="D59" s="1">
        <v>23057350</v>
      </c>
      <c r="E59" s="1">
        <v>61432</v>
      </c>
      <c r="F59" s="1">
        <v>20211247.704639994</v>
      </c>
      <c r="G59" s="1">
        <v>57746.422013257128</v>
      </c>
      <c r="H59" s="18">
        <f>D59/F59</f>
        <v>1.1408177435135096</v>
      </c>
      <c r="I59" s="19">
        <f>E59/G59</f>
        <v>1.063823486516563</v>
      </c>
    </row>
    <row r="60" spans="1:9" x14ac:dyDescent="0.25">
      <c r="A60" t="s">
        <v>0</v>
      </c>
      <c r="B60" s="12" t="s">
        <v>20</v>
      </c>
      <c r="C60" s="21">
        <v>2022</v>
      </c>
      <c r="D60" s="1">
        <v>97397715</v>
      </c>
      <c r="E60" s="1">
        <v>272552</v>
      </c>
      <c r="F60" s="1">
        <v>82622295.197415024</v>
      </c>
      <c r="G60" s="1">
        <v>236063.70056404293</v>
      </c>
      <c r="H60" s="18">
        <f>D60/F60</f>
        <v>1.1788309047489067</v>
      </c>
      <c r="I60" s="19">
        <f>E60/G60</f>
        <v>1.1545697171940164</v>
      </c>
    </row>
    <row r="61" spans="1:9" x14ac:dyDescent="0.25">
      <c r="A61" t="s">
        <v>0</v>
      </c>
      <c r="B61" s="12" t="s">
        <v>21</v>
      </c>
      <c r="C61" s="21">
        <v>2022</v>
      </c>
      <c r="D61" s="1">
        <v>70506790</v>
      </c>
      <c r="E61" s="1">
        <v>165112</v>
      </c>
      <c r="F61" s="1">
        <v>66098699.4491136</v>
      </c>
      <c r="G61" s="1">
        <v>188853.42699746744</v>
      </c>
      <c r="H61" s="18">
        <f>D61/F61</f>
        <v>1.066689520181558</v>
      </c>
      <c r="I61" s="19">
        <f>E61/G61</f>
        <v>0.8742864909844299</v>
      </c>
    </row>
    <row r="62" spans="1:9" x14ac:dyDescent="0.25">
      <c r="A62" t="s">
        <v>0</v>
      </c>
      <c r="B62" s="12" t="s">
        <v>10</v>
      </c>
      <c r="C62" s="21">
        <v>2022</v>
      </c>
      <c r="D62" s="1">
        <v>102123100</v>
      </c>
      <c r="E62" s="1">
        <v>238284</v>
      </c>
      <c r="F62" s="1">
        <v>101200000</v>
      </c>
      <c r="G62" s="1">
        <v>220000</v>
      </c>
      <c r="H62" s="18">
        <f>D62/F62</f>
        <v>1.0091215415019763</v>
      </c>
      <c r="I62" s="19">
        <f>E62/G62</f>
        <v>1.0831090909090908</v>
      </c>
    </row>
    <row r="63" spans="1:9" x14ac:dyDescent="0.25">
      <c r="A63" t="s">
        <v>0</v>
      </c>
      <c r="B63" s="12" t="s">
        <v>11</v>
      </c>
      <c r="C63" s="21">
        <v>2022</v>
      </c>
      <c r="D63" s="1">
        <v>57678705</v>
      </c>
      <c r="E63" s="1">
        <v>122370</v>
      </c>
      <c r="F63" s="1">
        <v>64400000</v>
      </c>
      <c r="G63" s="1">
        <v>140000</v>
      </c>
      <c r="H63" s="18">
        <f>D63/F63</f>
        <v>0.89563206521739125</v>
      </c>
      <c r="I63" s="19">
        <f>E63/G63</f>
        <v>0.87407142857142861</v>
      </c>
    </row>
    <row r="64" spans="1:9" x14ac:dyDescent="0.25">
      <c r="A64" t="s">
        <v>0</v>
      </c>
      <c r="B64" s="12" t="s">
        <v>12</v>
      </c>
      <c r="C64" s="21">
        <v>2022</v>
      </c>
      <c r="D64" s="1">
        <v>46666275</v>
      </c>
      <c r="E64" s="1">
        <v>98712</v>
      </c>
      <c r="F64" s="1">
        <v>50600000</v>
      </c>
      <c r="G64" s="1">
        <v>110000</v>
      </c>
      <c r="H64" s="18">
        <f>D64/F64</f>
        <v>0.92225839920948616</v>
      </c>
      <c r="I64" s="19">
        <f>E64/G64</f>
        <v>0.89738181818181817</v>
      </c>
    </row>
    <row r="65" spans="1:9" x14ac:dyDescent="0.25">
      <c r="A65" t="s">
        <v>0</v>
      </c>
      <c r="B65" s="12" t="s">
        <v>13</v>
      </c>
      <c r="C65" s="21">
        <v>2022</v>
      </c>
      <c r="D65" s="1">
        <v>66095935</v>
      </c>
      <c r="E65" s="1">
        <v>128547</v>
      </c>
      <c r="F65" s="1">
        <v>64400000</v>
      </c>
      <c r="G65" s="1">
        <v>140000</v>
      </c>
      <c r="H65" s="18">
        <f>D65/F65</f>
        <v>1.0263343944099379</v>
      </c>
      <c r="I65" s="19">
        <f>E65/G65</f>
        <v>0.91819285714285714</v>
      </c>
    </row>
    <row r="66" spans="1:9" x14ac:dyDescent="0.25">
      <c r="A66" t="s">
        <v>0</v>
      </c>
      <c r="B66" s="12" t="s">
        <v>14</v>
      </c>
      <c r="C66" s="21">
        <v>2022</v>
      </c>
      <c r="D66" s="1">
        <v>97813280</v>
      </c>
      <c r="E66" s="1">
        <v>181726</v>
      </c>
      <c r="F66" s="1">
        <v>82800000</v>
      </c>
      <c r="G66" s="1">
        <v>180000</v>
      </c>
      <c r="H66" s="18">
        <f>D66/F66</f>
        <v>1.1813198067632851</v>
      </c>
      <c r="I66" s="19">
        <f>E66/G66</f>
        <v>1.0095888888888889</v>
      </c>
    </row>
    <row r="67" spans="1:9" x14ac:dyDescent="0.25">
      <c r="A67" t="s">
        <v>0</v>
      </c>
      <c r="B67" s="12" t="s">
        <v>15</v>
      </c>
      <c r="C67" s="21">
        <v>2022</v>
      </c>
      <c r="D67" s="1">
        <v>92961905</v>
      </c>
      <c r="E67" s="1">
        <v>194194</v>
      </c>
      <c r="F67" s="1">
        <v>96600000</v>
      </c>
      <c r="G67" s="1">
        <v>210000</v>
      </c>
      <c r="H67" s="18">
        <f>D67/F67</f>
        <v>0.96233856107660454</v>
      </c>
      <c r="I67" s="19">
        <f>E67/G67</f>
        <v>0.9247333333333333</v>
      </c>
    </row>
    <row r="68" spans="1:9" x14ac:dyDescent="0.25">
      <c r="A68" t="s">
        <v>0</v>
      </c>
      <c r="B68" s="12" t="s">
        <v>16</v>
      </c>
      <c r="C68" s="21">
        <v>2023</v>
      </c>
      <c r="D68" s="1">
        <v>61824365</v>
      </c>
      <c r="E68" s="1">
        <v>137208</v>
      </c>
      <c r="F68" s="1">
        <v>69000000</v>
      </c>
      <c r="G68" s="1">
        <v>150000</v>
      </c>
      <c r="H68" s="18">
        <f>D68/F68</f>
        <v>0.89600528985507244</v>
      </c>
      <c r="I68" s="19">
        <f>E68/G68</f>
        <v>0.91471999999999998</v>
      </c>
    </row>
    <row r="69" spans="1:9" x14ac:dyDescent="0.25">
      <c r="A69" t="s">
        <v>0</v>
      </c>
      <c r="B69" s="12" t="s">
        <v>17</v>
      </c>
      <c r="C69" s="21">
        <v>2023</v>
      </c>
      <c r="D69" s="1">
        <v>68205510</v>
      </c>
      <c r="E69" s="1">
        <v>156983</v>
      </c>
      <c r="F69" s="1">
        <v>59800000</v>
      </c>
      <c r="G69" s="1">
        <v>130000</v>
      </c>
      <c r="H69" s="18">
        <f>D69/F69</f>
        <v>1.1405603678929765</v>
      </c>
      <c r="I69" s="19">
        <f>E69/G69</f>
        <v>1.2075615384615384</v>
      </c>
    </row>
    <row r="70" spans="1:9" x14ac:dyDescent="0.25">
      <c r="A70" t="s">
        <v>0</v>
      </c>
      <c r="B70" s="12" t="s">
        <v>18</v>
      </c>
      <c r="C70" s="21">
        <v>2023</v>
      </c>
      <c r="D70" s="1">
        <v>59467490</v>
      </c>
      <c r="E70" s="1">
        <v>128119</v>
      </c>
      <c r="F70" s="1">
        <v>55200000</v>
      </c>
      <c r="G70" s="1">
        <v>120000</v>
      </c>
      <c r="H70" s="18">
        <f>D70/F70</f>
        <v>1.0773096014492753</v>
      </c>
      <c r="I70" s="19">
        <f>E70/G70</f>
        <v>1.0676583333333334</v>
      </c>
    </row>
    <row r="71" spans="1:9" x14ac:dyDescent="0.25">
      <c r="A71" t="s">
        <v>0</v>
      </c>
      <c r="B71" s="12" t="s">
        <v>19</v>
      </c>
      <c r="C71" s="21">
        <v>2023</v>
      </c>
      <c r="D71" s="1">
        <v>91359257</v>
      </c>
      <c r="E71" s="1">
        <v>200512</v>
      </c>
      <c r="F71" s="1">
        <v>87075002</v>
      </c>
      <c r="G71" s="1">
        <v>181406.25416666668</v>
      </c>
      <c r="H71" s="18">
        <f>D71/F71</f>
        <v>1.0492018937880703</v>
      </c>
      <c r="I71" s="19">
        <f>E71/G71</f>
        <v>1.1053202157836297</v>
      </c>
    </row>
    <row r="72" spans="1:9" x14ac:dyDescent="0.25">
      <c r="A72" t="s">
        <v>0</v>
      </c>
      <c r="B72" s="12" t="s">
        <v>20</v>
      </c>
      <c r="C72" s="21">
        <v>2023</v>
      </c>
      <c r="D72" s="1">
        <v>58419520</v>
      </c>
      <c r="E72" s="1">
        <v>107769</v>
      </c>
      <c r="F72" s="1">
        <v>67200000</v>
      </c>
      <c r="G72" s="1">
        <v>140000</v>
      </c>
      <c r="H72" s="18">
        <f>D72/F72</f>
        <v>0.86933809523809524</v>
      </c>
      <c r="I72" s="19">
        <f>E72/G72</f>
        <v>0.76977857142857142</v>
      </c>
    </row>
    <row r="73" spans="1:9" x14ac:dyDescent="0.25">
      <c r="A73" t="s">
        <v>0</v>
      </c>
      <c r="B73" s="12" t="s">
        <v>21</v>
      </c>
      <c r="C73" s="21">
        <v>2023</v>
      </c>
      <c r="D73" s="1">
        <v>69607810</v>
      </c>
      <c r="E73" s="1">
        <v>125191</v>
      </c>
      <c r="F73" s="1">
        <v>105600000</v>
      </c>
      <c r="G73" s="1">
        <v>220000</v>
      </c>
      <c r="H73" s="18">
        <f>D73/F73</f>
        <v>0.65916486742424241</v>
      </c>
      <c r="I73" s="19">
        <f>E73/G73</f>
        <v>0.56904999999999994</v>
      </c>
    </row>
    <row r="74" spans="1:9" x14ac:dyDescent="0.25">
      <c r="A74" t="s">
        <v>0</v>
      </c>
      <c r="B74" s="12" t="s">
        <v>10</v>
      </c>
      <c r="C74" s="21">
        <v>2023</v>
      </c>
      <c r="D74" s="1">
        <v>119501840</v>
      </c>
      <c r="E74" s="9">
        <v>222055</v>
      </c>
      <c r="F74" s="8">
        <v>99450000</v>
      </c>
      <c r="G74" s="1">
        <v>195000</v>
      </c>
      <c r="H74" s="18">
        <f>D74/F74</f>
        <v>1.2016273504273505</v>
      </c>
      <c r="I74" s="19">
        <f>E74/G74</f>
        <v>1.1387435897435898</v>
      </c>
    </row>
    <row r="75" spans="1:9" x14ac:dyDescent="0.25">
      <c r="A75" t="s">
        <v>0</v>
      </c>
      <c r="B75" s="12" t="s">
        <v>11</v>
      </c>
      <c r="C75" s="21">
        <v>2023</v>
      </c>
      <c r="D75" s="1">
        <v>70717287</v>
      </c>
      <c r="E75" s="9">
        <v>132941</v>
      </c>
      <c r="F75" s="8">
        <v>79500000</v>
      </c>
      <c r="G75" s="8">
        <v>150000</v>
      </c>
      <c r="H75" s="18">
        <f>D75/F75</f>
        <v>0.88952562264150947</v>
      </c>
      <c r="I75" s="19">
        <f>E75/G75</f>
        <v>0.88627333333333336</v>
      </c>
    </row>
    <row r="76" spans="1:9" x14ac:dyDescent="0.25">
      <c r="A76" t="s">
        <v>0</v>
      </c>
      <c r="B76" s="12" t="s">
        <v>12</v>
      </c>
      <c r="C76" s="21">
        <v>2023</v>
      </c>
      <c r="D76" s="1">
        <v>48947599</v>
      </c>
      <c r="E76" s="9">
        <v>92142</v>
      </c>
      <c r="F76" s="1">
        <v>63600000</v>
      </c>
      <c r="G76" s="1">
        <v>120000</v>
      </c>
      <c r="H76" s="18">
        <f>D76/F76</f>
        <v>0.76961633647798744</v>
      </c>
      <c r="I76" s="19">
        <f>E76/G76</f>
        <v>0.76785000000000003</v>
      </c>
    </row>
    <row r="77" spans="1:9" x14ac:dyDescent="0.25">
      <c r="A77" t="s">
        <v>0</v>
      </c>
      <c r="B77" s="12" t="s">
        <v>13</v>
      </c>
      <c r="C77" s="21">
        <v>2023</v>
      </c>
      <c r="D77" s="1">
        <v>86254135</v>
      </c>
      <c r="E77" s="9">
        <v>177261</v>
      </c>
      <c r="F77" s="1">
        <v>74200000</v>
      </c>
      <c r="G77" s="1">
        <v>140000</v>
      </c>
      <c r="H77" s="18">
        <f>D77/F77</f>
        <v>1.1624546495956873</v>
      </c>
      <c r="I77" s="19">
        <f>E77/G77</f>
        <v>1.2661500000000001</v>
      </c>
    </row>
    <row r="78" spans="1:9" x14ac:dyDescent="0.25">
      <c r="A78" t="s">
        <v>0</v>
      </c>
      <c r="B78" s="12" t="s">
        <v>14</v>
      </c>
      <c r="C78" s="21">
        <v>2023</v>
      </c>
      <c r="D78" s="1">
        <v>115979890</v>
      </c>
      <c r="E78" s="9">
        <v>243900</v>
      </c>
      <c r="F78" s="1">
        <v>106000000</v>
      </c>
      <c r="G78" s="1">
        <v>200000</v>
      </c>
      <c r="H78" s="18">
        <f>D78/F78</f>
        <v>1.0941499056603774</v>
      </c>
      <c r="I78" s="19">
        <f>E78/G78</f>
        <v>1.2195</v>
      </c>
    </row>
    <row r="79" spans="1:9" x14ac:dyDescent="0.25">
      <c r="A79" t="s">
        <v>0</v>
      </c>
      <c r="B79" s="12" t="s">
        <v>15</v>
      </c>
      <c r="C79" s="21">
        <v>2023</v>
      </c>
      <c r="D79" s="1">
        <v>115541410</v>
      </c>
      <c r="E79" s="9">
        <v>208778</v>
      </c>
      <c r="F79" s="1">
        <v>127600000</v>
      </c>
      <c r="G79" s="1">
        <v>220000</v>
      </c>
      <c r="H79" s="18">
        <f>D79/F79</f>
        <v>0.90549694357366772</v>
      </c>
      <c r="I79" s="19">
        <f>E79/G79</f>
        <v>0.94899090909090911</v>
      </c>
    </row>
    <row r="80" spans="1:9" x14ac:dyDescent="0.25">
      <c r="A80" t="s">
        <v>0</v>
      </c>
      <c r="B80" s="12" t="s">
        <v>16</v>
      </c>
      <c r="C80" s="21">
        <v>2024</v>
      </c>
      <c r="D80" s="1">
        <v>65662530</v>
      </c>
      <c r="E80" s="9">
        <v>107392</v>
      </c>
      <c r="F80" s="1">
        <v>87000000</v>
      </c>
      <c r="G80" s="1">
        <v>150000</v>
      </c>
      <c r="H80" s="18">
        <f>D80/F80</f>
        <v>0.75474172413793106</v>
      </c>
      <c r="I80" s="19">
        <f>E80/G80</f>
        <v>0.71594666666666662</v>
      </c>
    </row>
    <row r="81" spans="1:9" x14ac:dyDescent="0.25">
      <c r="A81" t="s">
        <v>0</v>
      </c>
      <c r="B81" s="12" t="s">
        <v>17</v>
      </c>
      <c r="C81" s="21">
        <v>2024</v>
      </c>
      <c r="D81" s="3">
        <v>90252380</v>
      </c>
      <c r="E81" s="9">
        <v>154102</v>
      </c>
      <c r="F81" s="1">
        <v>87000000</v>
      </c>
      <c r="G81" s="1">
        <v>150000</v>
      </c>
      <c r="H81" s="18">
        <f>D81/F81</f>
        <v>1.0373836781609196</v>
      </c>
      <c r="I81" s="19">
        <f>E81/G81</f>
        <v>1.0273466666666666</v>
      </c>
    </row>
    <row r="82" spans="1:9" x14ac:dyDescent="0.25">
      <c r="A82" t="s">
        <v>0</v>
      </c>
      <c r="B82" s="12" t="s">
        <v>18</v>
      </c>
      <c r="C82" s="21">
        <v>2024</v>
      </c>
      <c r="D82" s="4">
        <v>58566780</v>
      </c>
      <c r="E82" s="8">
        <v>96809</v>
      </c>
      <c r="F82" s="1">
        <v>58000000</v>
      </c>
      <c r="G82" s="1">
        <v>100000</v>
      </c>
      <c r="H82" s="18">
        <f>D82/F82</f>
        <v>1.0097720689655172</v>
      </c>
      <c r="I82" s="19">
        <f>E82/G82</f>
        <v>0.96809000000000001</v>
      </c>
    </row>
    <row r="83" spans="1:9" x14ac:dyDescent="0.25">
      <c r="A83" t="s">
        <v>0</v>
      </c>
      <c r="B83" s="12" t="s">
        <v>19</v>
      </c>
      <c r="C83" s="21">
        <v>2024</v>
      </c>
      <c r="D83" s="1">
        <v>151663194</v>
      </c>
      <c r="E83" s="1">
        <v>268785</v>
      </c>
      <c r="F83" s="1">
        <v>150800000</v>
      </c>
      <c r="G83" s="1">
        <v>260000</v>
      </c>
      <c r="H83" s="18">
        <f>D83/F83</f>
        <v>1.005724098143236</v>
      </c>
      <c r="I83" s="19">
        <f>E83/G83</f>
        <v>1.0337884615384616</v>
      </c>
    </row>
    <row r="84" spans="1:9" x14ac:dyDescent="0.25">
      <c r="A84" t="s">
        <v>0</v>
      </c>
      <c r="B84" s="12" t="s">
        <v>20</v>
      </c>
      <c r="C84" s="21">
        <v>2024</v>
      </c>
      <c r="D84" s="1">
        <v>78685690</v>
      </c>
      <c r="E84" s="1">
        <v>123003</v>
      </c>
      <c r="F84" s="1">
        <v>87000000</v>
      </c>
      <c r="G84" s="1">
        <v>150000</v>
      </c>
      <c r="H84" s="18">
        <f>D84/F84</f>
        <v>0.90443321839080459</v>
      </c>
      <c r="I84" s="19">
        <f>E84/G84</f>
        <v>0.82001999999999997</v>
      </c>
    </row>
    <row r="85" spans="1:9" x14ac:dyDescent="0.25">
      <c r="A85" t="s">
        <v>0</v>
      </c>
      <c r="B85" s="12" t="s">
        <v>21</v>
      </c>
      <c r="C85" s="21">
        <v>2024</v>
      </c>
      <c r="D85" s="1">
        <v>108862708</v>
      </c>
      <c r="E85" s="1">
        <v>179344</v>
      </c>
      <c r="F85" s="1">
        <v>145000000</v>
      </c>
      <c r="G85" s="1">
        <v>250000</v>
      </c>
      <c r="H85" s="18">
        <f>D85/F85</f>
        <v>0.75077729655172409</v>
      </c>
      <c r="I85" s="19">
        <f>E85/G85</f>
        <v>0.71737600000000001</v>
      </c>
    </row>
    <row r="86" spans="1:9" x14ac:dyDescent="0.25">
      <c r="A86" t="s">
        <v>0</v>
      </c>
      <c r="B86" s="12" t="s">
        <v>10</v>
      </c>
      <c r="C86" s="21">
        <v>2024</v>
      </c>
      <c r="D86" s="5">
        <v>112164440</v>
      </c>
      <c r="E86" s="3">
        <v>164469</v>
      </c>
      <c r="F86" s="8">
        <v>128173106.146708</v>
      </c>
      <c r="G86" s="1">
        <v>207634.60024050501</v>
      </c>
      <c r="H86" s="18">
        <f>D86/F86</f>
        <v>0.87510120782760503</v>
      </c>
      <c r="I86" s="19">
        <f>E86/G86</f>
        <v>0.79210786549782208</v>
      </c>
    </row>
    <row r="87" spans="1:9" x14ac:dyDescent="0.25">
      <c r="A87" t="s">
        <v>0</v>
      </c>
      <c r="B87" s="12" t="s">
        <v>11</v>
      </c>
      <c r="C87" s="21">
        <v>2024</v>
      </c>
      <c r="D87" s="6">
        <v>90898266</v>
      </c>
      <c r="E87" s="10">
        <v>135399</v>
      </c>
      <c r="F87" s="8">
        <v>91139718.470309407</v>
      </c>
      <c r="G87" s="8">
        <v>147743.80077099899</v>
      </c>
      <c r="H87" s="18">
        <f>D87/F87</f>
        <v>0.99735074373322685</v>
      </c>
      <c r="I87" s="19">
        <f>E87/G87</f>
        <v>0.91644454314443102</v>
      </c>
    </row>
    <row r="88" spans="1:9" x14ac:dyDescent="0.25">
      <c r="A88" t="s">
        <v>0</v>
      </c>
      <c r="B88" s="12" t="s">
        <v>12</v>
      </c>
      <c r="C88" s="21">
        <v>2024</v>
      </c>
      <c r="D88" s="5">
        <v>64766300</v>
      </c>
      <c r="E88" s="3">
        <v>95659</v>
      </c>
      <c r="F88" s="1">
        <v>63381661.330327101</v>
      </c>
      <c r="G88" s="1">
        <v>102566.65791856901</v>
      </c>
      <c r="H88" s="18">
        <f>D88/F88</f>
        <v>1.0218460456954033</v>
      </c>
      <c r="I88" s="19">
        <f>E88/G88</f>
        <v>0.93265201324924496</v>
      </c>
    </row>
    <row r="89" spans="1:9" x14ac:dyDescent="0.25">
      <c r="A89" t="s">
        <v>0</v>
      </c>
      <c r="B89" s="12" t="s">
        <v>13</v>
      </c>
      <c r="C89" s="21">
        <v>2024</v>
      </c>
      <c r="D89" s="5">
        <v>108650280</v>
      </c>
      <c r="E89" s="3">
        <v>184726</v>
      </c>
      <c r="F89" s="1">
        <v>123378451.363434</v>
      </c>
      <c r="G89" s="1">
        <v>196962.01832811901</v>
      </c>
      <c r="H89" s="18">
        <f>D89/F89</f>
        <v>0.88062606394653586</v>
      </c>
      <c r="I89" s="19">
        <f>E89/G89</f>
        <v>0.93787625435613164</v>
      </c>
    </row>
    <row r="90" spans="1:9" x14ac:dyDescent="0.25">
      <c r="A90" t="s">
        <v>0</v>
      </c>
      <c r="B90" s="12" t="s">
        <v>14</v>
      </c>
      <c r="C90" s="21">
        <v>2024</v>
      </c>
      <c r="D90" s="5">
        <v>71580600</v>
      </c>
      <c r="E90" s="3">
        <v>125358</v>
      </c>
      <c r="F90" s="1">
        <v>156860000</v>
      </c>
      <c r="G90" s="1">
        <v>250400</v>
      </c>
      <c r="H90" s="18">
        <f>D90/F90</f>
        <v>0.45633431085043991</v>
      </c>
      <c r="I90" s="19">
        <f>E90/G90</f>
        <v>0.50063099041533543</v>
      </c>
    </row>
    <row r="91" spans="1:9" x14ac:dyDescent="0.25">
      <c r="A91" t="s">
        <v>0</v>
      </c>
      <c r="B91" s="12" t="s">
        <v>15</v>
      </c>
      <c r="C91" s="21">
        <v>2024</v>
      </c>
      <c r="D91" s="7">
        <v>156028650</v>
      </c>
      <c r="E91" s="3">
        <v>252797</v>
      </c>
      <c r="F91" s="1">
        <v>152385465.77758899</v>
      </c>
      <c r="G91" s="1">
        <v>237281.048468644</v>
      </c>
      <c r="H91" s="18">
        <f>D91/F91</f>
        <v>1.0239076883337965</v>
      </c>
      <c r="I91" s="19">
        <f>E91/G91</f>
        <v>1.0653906059143463</v>
      </c>
    </row>
    <row r="92" spans="1:9" x14ac:dyDescent="0.25">
      <c r="A92" t="s">
        <v>0</v>
      </c>
      <c r="B92" s="12" t="s">
        <v>16</v>
      </c>
      <c r="C92" s="21">
        <v>2025</v>
      </c>
      <c r="D92" s="7">
        <v>122916840</v>
      </c>
      <c r="E92" s="11">
        <v>167122</v>
      </c>
      <c r="F92" s="1">
        <v>77270736.427238002</v>
      </c>
      <c r="G92" s="1">
        <v>119856.27783817</v>
      </c>
      <c r="H92" s="18">
        <f>D92/F92</f>
        <v>1.5907295010154932</v>
      </c>
      <c r="I92" s="19">
        <f>E92/G92</f>
        <v>1.3943533289566041</v>
      </c>
    </row>
    <row r="93" spans="1:9" x14ac:dyDescent="0.25">
      <c r="A93" t="s">
        <v>0</v>
      </c>
      <c r="B93" s="12" t="s">
        <v>17</v>
      </c>
      <c r="C93" s="21">
        <v>2025</v>
      </c>
      <c r="D93" s="3">
        <v>108258240</v>
      </c>
      <c r="E93" s="3">
        <v>165623</v>
      </c>
      <c r="F93" s="1">
        <v>110353432.22984201</v>
      </c>
      <c r="G93" s="1">
        <v>171561.310598176</v>
      </c>
      <c r="H93" s="18">
        <f>D93/F93</f>
        <v>0.98101380095294022</v>
      </c>
      <c r="I93" s="19">
        <f>E93/G93</f>
        <v>0.96538665636517274</v>
      </c>
    </row>
    <row r="94" spans="1:9" x14ac:dyDescent="0.25">
      <c r="A94" t="s">
        <v>0</v>
      </c>
      <c r="B94" s="12" t="s">
        <v>18</v>
      </c>
      <c r="C94" s="21">
        <v>2025</v>
      </c>
      <c r="D94" s="3">
        <v>38026710</v>
      </c>
      <c r="E94" s="3">
        <v>82301</v>
      </c>
      <c r="F94" s="1">
        <v>59998191.345816202</v>
      </c>
      <c r="G94" s="1">
        <v>92970.3800721515</v>
      </c>
      <c r="H94" s="18">
        <f>D94/F94</f>
        <v>0.63379760534484308</v>
      </c>
      <c r="I94" s="19">
        <f>E94/G94</f>
        <v>0.88523893240114415</v>
      </c>
    </row>
    <row r="95" spans="1:9" x14ac:dyDescent="0.25">
      <c r="A95" t="s">
        <v>0</v>
      </c>
      <c r="B95" s="12" t="s">
        <v>19</v>
      </c>
      <c r="C95" s="21">
        <v>2025</v>
      </c>
      <c r="D95" s="3">
        <v>191111380</v>
      </c>
      <c r="E95" s="3">
        <v>287777</v>
      </c>
      <c r="F95" s="1">
        <v>187937197.620529</v>
      </c>
      <c r="G95" s="1">
        <v>283803.35514584603</v>
      </c>
      <c r="H95" s="18">
        <f>D95/F95</f>
        <v>1.0168895908828017</v>
      </c>
      <c r="I95" s="19">
        <f>E95/G95</f>
        <v>1.0140014019640886</v>
      </c>
    </row>
    <row r="96" spans="1:9" x14ac:dyDescent="0.25">
      <c r="A96" t="s">
        <v>0</v>
      </c>
      <c r="B96" s="12" t="s">
        <v>20</v>
      </c>
      <c r="C96" s="21">
        <v>2025</v>
      </c>
      <c r="D96" s="3">
        <v>57499580</v>
      </c>
      <c r="E96" s="3">
        <v>77267</v>
      </c>
      <c r="F96" s="1">
        <v>96837064.210271493</v>
      </c>
      <c r="G96" s="1">
        <v>145864.220168353</v>
      </c>
      <c r="H96" s="18">
        <f>D96/F96</f>
        <v>0.59377657169723475</v>
      </c>
      <c r="I96" s="19">
        <f>E96/G96</f>
        <v>0.52971866514502508</v>
      </c>
    </row>
    <row r="97" spans="1:9" x14ac:dyDescent="0.25">
      <c r="A97" t="s">
        <v>0</v>
      </c>
      <c r="B97" s="12" t="s">
        <v>21</v>
      </c>
      <c r="C97" s="21">
        <v>2025</v>
      </c>
      <c r="D97" s="3">
        <v>126267620</v>
      </c>
      <c r="E97" s="3">
        <v>175275</v>
      </c>
      <c r="F97" s="1">
        <v>141302129.736469</v>
      </c>
      <c r="G97" s="1">
        <v>213215.465246518</v>
      </c>
      <c r="H97" s="18">
        <f>D97/F97</f>
        <v>0.89360026091249556</v>
      </c>
      <c r="I97" s="19">
        <f>E97/G97</f>
        <v>0.82205575377634288</v>
      </c>
    </row>
    <row r="98" spans="1:9" x14ac:dyDescent="0.25">
      <c r="A98" t="s">
        <v>0</v>
      </c>
      <c r="B98" s="12" t="s">
        <v>10</v>
      </c>
      <c r="C98" s="21">
        <v>2025</v>
      </c>
      <c r="D98" s="5">
        <v>119424935</v>
      </c>
      <c r="E98" s="3">
        <v>158977</v>
      </c>
      <c r="F98" s="5">
        <v>108572500</v>
      </c>
      <c r="G98" s="3">
        <v>158500</v>
      </c>
      <c r="H98" s="18">
        <f>D98/F98</f>
        <v>1.0999556517534366</v>
      </c>
      <c r="I98" s="19">
        <f>E98/G98</f>
        <v>1.0030094637223974</v>
      </c>
    </row>
    <row r="99" spans="1:9" x14ac:dyDescent="0.25">
      <c r="A99" t="s">
        <v>0</v>
      </c>
      <c r="B99" s="12" t="s">
        <v>11</v>
      </c>
      <c r="C99" s="21">
        <v>2025</v>
      </c>
      <c r="D99" s="6">
        <v>99075920</v>
      </c>
      <c r="E99" s="10">
        <v>135558</v>
      </c>
      <c r="F99" s="6">
        <v>92688126.524999991</v>
      </c>
      <c r="G99" s="10">
        <v>137315.74299999999</v>
      </c>
      <c r="H99" s="18">
        <f>D99/F99</f>
        <v>1.068917063214964</v>
      </c>
      <c r="I99" s="19">
        <f>E99/G99</f>
        <v>0.98719926090339116</v>
      </c>
    </row>
    <row r="100" spans="1:9" x14ac:dyDescent="0.25">
      <c r="A100" t="s">
        <v>0</v>
      </c>
      <c r="B100" s="12" t="s">
        <v>12</v>
      </c>
      <c r="C100" s="21">
        <v>2025</v>
      </c>
      <c r="D100" s="5">
        <v>52301820</v>
      </c>
      <c r="E100" s="3">
        <v>72762</v>
      </c>
      <c r="F100" s="5">
        <v>74800000</v>
      </c>
      <c r="G100" s="3">
        <v>110000</v>
      </c>
      <c r="H100" s="18">
        <f>D100/F100</f>
        <v>0.69922219251336903</v>
      </c>
      <c r="I100" s="19">
        <f>E100/G100</f>
        <v>0.66147272727272732</v>
      </c>
    </row>
    <row r="101" spans="1:9" x14ac:dyDescent="0.25">
      <c r="A101" t="s">
        <v>0</v>
      </c>
      <c r="B101" s="12" t="s">
        <v>13</v>
      </c>
      <c r="C101" s="21">
        <v>2025</v>
      </c>
      <c r="D101" s="5">
        <v>136012230</v>
      </c>
      <c r="E101" s="3">
        <v>218388</v>
      </c>
      <c r="F101" s="5">
        <v>106194085.67991003</v>
      </c>
      <c r="G101" s="3">
        <v>180899.95</v>
      </c>
      <c r="H101" s="18">
        <f>D101/F101</f>
        <v>1.2807891242641116</v>
      </c>
      <c r="I101" s="19">
        <f>E101/G101</f>
        <v>1.2072308477697202</v>
      </c>
    </row>
    <row r="102" spans="1:9" x14ac:dyDescent="0.25">
      <c r="A102" t="s">
        <v>0</v>
      </c>
      <c r="B102" s="12" t="s">
        <v>14</v>
      </c>
      <c r="C102" s="21">
        <v>2025</v>
      </c>
      <c r="D102" s="5">
        <v>211249130</v>
      </c>
      <c r="E102" s="3">
        <v>337080</v>
      </c>
      <c r="F102" s="5">
        <v>124269230.76923077</v>
      </c>
      <c r="G102" s="3">
        <v>215400</v>
      </c>
      <c r="H102" s="18">
        <f>D102/F102</f>
        <v>1.699931098731043</v>
      </c>
      <c r="I102" s="19">
        <f>E102/G102</f>
        <v>1.5649025069637883</v>
      </c>
    </row>
    <row r="103" spans="1:9" x14ac:dyDescent="0.25">
      <c r="A103" t="s">
        <v>0</v>
      </c>
      <c r="B103" s="12" t="s">
        <v>15</v>
      </c>
      <c r="C103" s="21">
        <v>2025</v>
      </c>
      <c r="D103" s="7">
        <v>152351765</v>
      </c>
      <c r="E103" s="3">
        <v>205376</v>
      </c>
      <c r="F103" s="7">
        <v>165292000</v>
      </c>
      <c r="G103" s="3">
        <v>266600</v>
      </c>
      <c r="H103" s="18">
        <f>D103/F103</f>
        <v>0.92171287781622824</v>
      </c>
      <c r="I103" s="19">
        <f>E103/G103</f>
        <v>0.77035258814703678</v>
      </c>
    </row>
    <row r="104" spans="1:9" x14ac:dyDescent="0.25">
      <c r="A104" t="s">
        <v>0</v>
      </c>
      <c r="B104" s="12" t="s">
        <v>16</v>
      </c>
      <c r="C104" s="21">
        <v>2026</v>
      </c>
      <c r="D104" s="7">
        <v>112919955</v>
      </c>
      <c r="E104" s="11">
        <v>140420</v>
      </c>
      <c r="F104" s="7">
        <v>152343599.5</v>
      </c>
      <c r="G104" s="11">
        <v>214568.45</v>
      </c>
      <c r="H104" s="18">
        <f>D104/F104</f>
        <v>0.74121889840209532</v>
      </c>
      <c r="I104" s="19">
        <f>E104/G104</f>
        <v>0.65442985676598775</v>
      </c>
    </row>
    <row r="105" spans="1:9" x14ac:dyDescent="0.25">
      <c r="A105" t="s">
        <v>0</v>
      </c>
      <c r="B105" s="12" t="s">
        <v>17</v>
      </c>
      <c r="C105" s="21">
        <v>2026</v>
      </c>
      <c r="D105" s="3">
        <v>77984125</v>
      </c>
      <c r="E105" s="3">
        <v>104833</v>
      </c>
      <c r="F105" s="3">
        <v>85230758.039999992</v>
      </c>
      <c r="G105" s="3">
        <v>130322.26</v>
      </c>
      <c r="H105" s="18">
        <f>D105/F105</f>
        <v>0.91497631598443552</v>
      </c>
      <c r="I105" s="19">
        <f>E105/G105</f>
        <v>0.80441361283943358</v>
      </c>
    </row>
    <row r="106" spans="1:9" x14ac:dyDescent="0.25">
      <c r="A106" t="s">
        <v>0</v>
      </c>
      <c r="B106" s="12" t="s">
        <v>18</v>
      </c>
      <c r="C106" s="21">
        <v>2026</v>
      </c>
      <c r="D106" s="3">
        <v>126370980</v>
      </c>
      <c r="E106" s="3">
        <v>184341</v>
      </c>
      <c r="F106" s="3">
        <v>164300000</v>
      </c>
      <c r="G106" s="3">
        <v>265000</v>
      </c>
      <c r="H106" s="18">
        <f>D106/F106</f>
        <v>0.76914777845404747</v>
      </c>
      <c r="I106" s="19">
        <f>E106/G106</f>
        <v>0.69562641509433965</v>
      </c>
    </row>
    <row r="107" spans="1:9" x14ac:dyDescent="0.25">
      <c r="A107" t="s">
        <v>0</v>
      </c>
      <c r="B107" s="12" t="s">
        <v>19</v>
      </c>
      <c r="C107" s="21">
        <v>2026</v>
      </c>
      <c r="D107" s="16">
        <v>0</v>
      </c>
      <c r="E107" s="3">
        <v>0</v>
      </c>
      <c r="F107" s="3">
        <v>114100000</v>
      </c>
      <c r="G107" s="3">
        <v>163000</v>
      </c>
      <c r="H107" s="18">
        <f>D107/F107</f>
        <v>0</v>
      </c>
      <c r="I107" s="19">
        <f>E107/G107</f>
        <v>0</v>
      </c>
    </row>
    <row r="108" spans="1:9" x14ac:dyDescent="0.25">
      <c r="A108" t="s">
        <v>0</v>
      </c>
      <c r="B108" s="12" t="s">
        <v>20</v>
      </c>
      <c r="C108" s="21">
        <v>2026</v>
      </c>
      <c r="D108" s="16">
        <v>0</v>
      </c>
      <c r="E108" s="3">
        <v>0</v>
      </c>
      <c r="F108" s="3">
        <v>122409000</v>
      </c>
      <c r="G108" s="3">
        <v>182700</v>
      </c>
      <c r="H108" s="18">
        <f>D108/F108</f>
        <v>0</v>
      </c>
      <c r="I108" s="19">
        <f>E108/G108</f>
        <v>0</v>
      </c>
    </row>
    <row r="109" spans="1:9" x14ac:dyDescent="0.25">
      <c r="A109" t="s">
        <v>0</v>
      </c>
      <c r="B109" s="12" t="s">
        <v>21</v>
      </c>
      <c r="C109" s="21">
        <v>2026</v>
      </c>
      <c r="D109" s="16">
        <v>0</v>
      </c>
      <c r="E109" s="3">
        <v>0</v>
      </c>
      <c r="F109" s="3">
        <v>111520000</v>
      </c>
      <c r="G109" s="3">
        <v>164000</v>
      </c>
      <c r="H109" s="18">
        <f>D109/F109</f>
        <v>0</v>
      </c>
      <c r="I109" s="19">
        <f>E109/G109</f>
        <v>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Umair Nizam</dc:creator>
  <cp:lastModifiedBy>Umair Nizam</cp:lastModifiedBy>
  <dcterms:created xsi:type="dcterms:W3CDTF">2026-04-24T04:59:36Z</dcterms:created>
  <dcterms:modified xsi:type="dcterms:W3CDTF">2026-04-24T06:30:57Z</dcterms:modified>
</cp:coreProperties>
</file>